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85F2BF5-3CC5-44F8-BD74-EDBA013BA57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art1" sheetId="4" r:id="rId1"/>
    <sheet name="B-25 marks" sheetId="2" r:id="rId2"/>
    <sheet name="C-25 marks" sheetId="3" r:id="rId3"/>
  </sheets>
  <definedNames>
    <definedName name="_xlchart.v1.0" hidden="1">'C-25 marks'!$A$67:$A$88</definedName>
    <definedName name="_xlchart.v1.1" hidden="1">'C-25 marks'!$F$67:$F$88</definedName>
    <definedName name="_xlchart.v1.2" hidden="1">'C-25 marks'!$G$67:$G$88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3" l="1"/>
  <c r="U11" i="3"/>
  <c r="U12" i="3"/>
  <c r="U13" i="3"/>
  <c r="U14" i="3"/>
  <c r="U15" i="3"/>
  <c r="U16" i="3"/>
  <c r="U17" i="3"/>
  <c r="U18" i="3"/>
  <c r="T10" i="3"/>
  <c r="T11" i="3"/>
  <c r="T12" i="3"/>
  <c r="T13" i="3"/>
  <c r="T14" i="3"/>
  <c r="T15" i="3"/>
  <c r="T16" i="3"/>
  <c r="T17" i="3"/>
  <c r="T18" i="3"/>
  <c r="S10" i="3"/>
  <c r="S11" i="3"/>
  <c r="S12" i="3"/>
  <c r="S13" i="3"/>
  <c r="S14" i="3"/>
  <c r="S15" i="3"/>
  <c r="S16" i="3"/>
  <c r="S17" i="3"/>
  <c r="S18" i="3"/>
  <c r="U9" i="3"/>
  <c r="T9" i="3"/>
  <c r="S9" i="3"/>
  <c r="F14" i="2"/>
  <c r="F15" i="2"/>
  <c r="F16" i="2"/>
  <c r="H16" i="2" s="1"/>
  <c r="F17" i="2"/>
  <c r="F18" i="2"/>
  <c r="H18" i="2" s="1"/>
  <c r="F19" i="2"/>
  <c r="H19" i="2" s="1"/>
  <c r="F20" i="2"/>
  <c r="H20" i="2" s="1"/>
  <c r="F21" i="2"/>
  <c r="F22" i="2"/>
  <c r="F23" i="2"/>
  <c r="F24" i="2"/>
  <c r="F25" i="2"/>
  <c r="F26" i="2"/>
  <c r="H26" i="2" s="1"/>
  <c r="F27" i="2"/>
  <c r="H27" i="2" s="1"/>
  <c r="F28" i="2"/>
  <c r="F29" i="2"/>
  <c r="H29" i="2" s="1"/>
  <c r="F30" i="2"/>
  <c r="H30" i="2" s="1"/>
  <c r="F31" i="2"/>
  <c r="H31" i="2" s="1"/>
  <c r="F32" i="2"/>
  <c r="F13" i="2"/>
  <c r="H15" i="2"/>
  <c r="H17" i="2"/>
  <c r="H21" i="2"/>
  <c r="H22" i="2"/>
  <c r="H23" i="2"/>
  <c r="H24" i="2"/>
  <c r="H25" i="2"/>
  <c r="H28" i="2"/>
  <c r="H32" i="2"/>
  <c r="H13" i="2"/>
  <c r="F6" i="2"/>
  <c r="F7" i="2"/>
  <c r="F8" i="2"/>
  <c r="E6" i="2"/>
  <c r="E7" i="2"/>
  <c r="E8" i="2"/>
  <c r="E5" i="2"/>
  <c r="F5" i="2" s="1"/>
  <c r="D5" i="2"/>
  <c r="C5" i="2"/>
  <c r="D6" i="2"/>
  <c r="D7" i="2"/>
  <c r="D8" i="2"/>
  <c r="C6" i="2"/>
  <c r="C7" i="2"/>
  <c r="C8" i="2"/>
  <c r="H14" i="2" l="1"/>
</calcChain>
</file>

<file path=xl/sharedStrings.xml><?xml version="1.0" encoding="utf-8"?>
<sst xmlns="http://schemas.openxmlformats.org/spreadsheetml/2006/main" count="95" uniqueCount="57">
  <si>
    <t>Fill in the following table:</t>
  </si>
  <si>
    <t>City</t>
  </si>
  <si>
    <t>CountIF()</t>
  </si>
  <si>
    <t>SumIF()</t>
  </si>
  <si>
    <t>Average Marks</t>
  </si>
  <si>
    <t>Rank</t>
  </si>
  <si>
    <t>Delhi</t>
  </si>
  <si>
    <t>For the following dataset:</t>
  </si>
  <si>
    <t>Roll No</t>
  </si>
  <si>
    <t>First Name</t>
  </si>
  <si>
    <t>Last Name</t>
  </si>
  <si>
    <t>Marks</t>
  </si>
  <si>
    <t>Result</t>
  </si>
  <si>
    <t>Concatenate</t>
  </si>
  <si>
    <t>Masum</t>
  </si>
  <si>
    <t>Chopra</t>
  </si>
  <si>
    <t>Prerna</t>
  </si>
  <si>
    <t>Agarwal</t>
  </si>
  <si>
    <t>Rahil</t>
  </si>
  <si>
    <t>Saini</t>
  </si>
  <si>
    <t>Pooja</t>
  </si>
  <si>
    <t>Patel</t>
  </si>
  <si>
    <t>Mohak</t>
  </si>
  <si>
    <t>Chaudhary</t>
  </si>
  <si>
    <t>Mini</t>
  </si>
  <si>
    <t>Desai</t>
  </si>
  <si>
    <t>Omi</t>
  </si>
  <si>
    <t>Parshwa</t>
  </si>
  <si>
    <t>Kumar</t>
  </si>
  <si>
    <t>Rohit</t>
  </si>
  <si>
    <t>Kiran</t>
  </si>
  <si>
    <t>Singora</t>
  </si>
  <si>
    <r>
      <t xml:space="preserve">Mark the student as </t>
    </r>
    <r>
      <rPr>
        <b/>
        <sz val="11"/>
        <color theme="1"/>
        <rFont val="Calibri"/>
        <family val="2"/>
        <scheme val="minor"/>
      </rPr>
      <t>FAIL</t>
    </r>
    <r>
      <rPr>
        <sz val="11"/>
        <color theme="1"/>
        <rFont val="Calibri"/>
        <family val="2"/>
        <scheme val="minor"/>
      </rPr>
      <t xml:space="preserve"> if the marks are less than 35 and </t>
    </r>
    <r>
      <rPr>
        <b/>
        <sz val="11"/>
        <color theme="1"/>
        <rFont val="Calibri"/>
        <family val="2"/>
        <scheme val="minor"/>
      </rPr>
      <t xml:space="preserve">PASS - </t>
    </r>
    <r>
      <rPr>
        <sz val="11"/>
        <color theme="1"/>
        <rFont val="Calibri"/>
        <family val="2"/>
        <scheme val="minor"/>
      </rPr>
      <t xml:space="preserve">if the marks are greater than equal to 35 and less than 50,  </t>
    </r>
    <r>
      <rPr>
        <b/>
        <sz val="11"/>
        <color theme="1"/>
        <rFont val="Calibri"/>
        <family val="2"/>
        <scheme val="minor"/>
      </rPr>
      <t xml:space="preserve">2nd Class - </t>
    </r>
    <r>
      <rPr>
        <sz val="11"/>
        <color theme="1"/>
        <rFont val="Calibri"/>
        <family val="2"/>
        <scheme val="minor"/>
      </rPr>
      <t xml:space="preserve">if the marks are between 50 and 60, </t>
    </r>
    <r>
      <rPr>
        <b/>
        <sz val="11"/>
        <color theme="1"/>
        <rFont val="Calibri"/>
        <family val="2"/>
        <scheme val="minor"/>
      </rPr>
      <t>1st CLAS</t>
    </r>
    <r>
      <rPr>
        <sz val="11"/>
        <color theme="1"/>
        <rFont val="Calibri"/>
        <family val="2"/>
        <scheme val="minor"/>
      </rPr>
      <t xml:space="preserve">S - if the marks are between 60 and 75, and </t>
    </r>
    <r>
      <rPr>
        <b/>
        <sz val="11"/>
        <color theme="1"/>
        <rFont val="Calibri"/>
        <family val="2"/>
        <scheme val="minor"/>
      </rPr>
      <t>DISTINCTION -</t>
    </r>
    <r>
      <rPr>
        <sz val="11"/>
        <color theme="1"/>
        <rFont val="Calibri"/>
        <family val="2"/>
        <scheme val="minor"/>
      </rPr>
      <t xml:space="preserve"> if the marks are above 75, in the column E, by using propoer</t>
    </r>
    <r>
      <rPr>
        <b/>
        <sz val="11"/>
        <color theme="1"/>
        <rFont val="Calibri"/>
        <family val="2"/>
        <scheme val="minor"/>
      </rPr>
      <t xml:space="preserve"> If formulae</t>
    </r>
  </si>
  <si>
    <t>Sree</t>
  </si>
  <si>
    <t>Ram</t>
  </si>
  <si>
    <t>Piku</t>
  </si>
  <si>
    <t>Naren</t>
  </si>
  <si>
    <t>Neeraj</t>
  </si>
  <si>
    <t>Maya</t>
  </si>
  <si>
    <t>Malvika</t>
  </si>
  <si>
    <t>Monika</t>
  </si>
  <si>
    <t>Shobhit</t>
  </si>
  <si>
    <t>State</t>
  </si>
  <si>
    <t>Gujarat</t>
  </si>
  <si>
    <t>Bihar</t>
  </si>
  <si>
    <t>Orissa</t>
  </si>
  <si>
    <t xml:space="preserve">Convert the data given in the Dataset in the form a table, using the furmular/function of tables </t>
  </si>
  <si>
    <t>Concatenate the data in Column G as "LastName FirstName Marks Status of Pass/Fail State" e.g., "Purvi Vasavada Surat 38 FAIL"</t>
  </si>
  <si>
    <t>Date</t>
  </si>
  <si>
    <t>Open</t>
  </si>
  <si>
    <t>High</t>
  </si>
  <si>
    <t>Low</t>
  </si>
  <si>
    <t>Close</t>
  </si>
  <si>
    <t>Shares Traded</t>
  </si>
  <si>
    <t>Turnover (Rs. Cr)</t>
  </si>
  <si>
    <t>Prepare any 3 suitable charts for the closing of the June 2021, with all appropriate labelling.</t>
  </si>
  <si>
    <t>Create a VLOOKUP table and Dropdown menu (together) for the atleast 10 values of dates to know the open, high low, close, shares traded and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</si>
</sst>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'B-25 marks'!$A$2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marks'!$B$2:$Q$2</c:f>
              <c:numCache>
                <c:formatCode>General</c:formatCode>
                <c:ptCount val="16"/>
                <c:pt idx="0">
                  <c:v>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6ED-9B7F-3E200434AF0F}"/>
            </c:ext>
          </c:extLst>
        </c:ser>
        <c:ser>
          <c:idx val="1"/>
          <c:order val="1"/>
          <c:tx>
            <c:strRef>
              <c:f>'B-25 marks'!$A$3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marks'!$B$3:$Q$3</c:f>
              <c:numCache>
                <c:formatCode>General</c:formatCode>
                <c:ptCount val="16"/>
                <c:pt idx="0">
                  <c:v>0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4-46ED-9B7F-3E200434AF0F}"/>
            </c:ext>
          </c:extLst>
        </c:ser>
        <c:ser>
          <c:idx val="2"/>
          <c:order val="2"/>
          <c:tx>
            <c:strRef>
              <c:f>'B-25 marks'!$A$4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marks'!$B$4:$Q$4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4-46ED-9B7F-3E200434AF0F}"/>
            </c:ext>
          </c:extLst>
        </c:ser>
        <c:ser>
          <c:idx val="3"/>
          <c:order val="3"/>
          <c:tx>
            <c:strRef>
              <c:f>'B-25 marks'!$A$5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marks'!$B$5:$Q$5</c:f>
              <c:numCache>
                <c:formatCode>General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417</c:v>
                </c:pt>
                <c:pt idx="3">
                  <c:v>69.5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44-46ED-9B7F-3E200434AF0F}"/>
            </c:ext>
          </c:extLst>
        </c:ser>
        <c:ser>
          <c:idx val="4"/>
          <c:order val="4"/>
          <c:tx>
            <c:strRef>
              <c:f>'B-25 marks'!$A$6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marks'!$B$6:$Q$6</c:f>
              <c:numCache>
                <c:formatCode>General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322</c:v>
                </c:pt>
                <c:pt idx="3">
                  <c:v>53.666666666666664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44-46ED-9B7F-3E200434AF0F}"/>
            </c:ext>
          </c:extLst>
        </c:ser>
        <c:ser>
          <c:idx val="5"/>
          <c:order val="5"/>
          <c:tx>
            <c:strRef>
              <c:f>'B-25 marks'!$A$7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marks'!$B$7:$Q$7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197</c:v>
                </c:pt>
                <c:pt idx="3">
                  <c:v>49.25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44-46ED-9B7F-3E200434AF0F}"/>
            </c:ext>
          </c:extLst>
        </c:ser>
        <c:ser>
          <c:idx val="6"/>
          <c:order val="6"/>
          <c:tx>
            <c:strRef>
              <c:f>'B-25 marks'!$A$8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marks'!$B$8:$Q$8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232</c:v>
                </c:pt>
                <c:pt idx="3">
                  <c:v>58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44-46ED-9B7F-3E200434AF0F}"/>
            </c:ext>
          </c:extLst>
        </c:ser>
        <c:ser>
          <c:idx val="7"/>
          <c:order val="7"/>
          <c:tx>
            <c:strRef>
              <c:f>'B-25 marks'!$A$9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marks'!$B$9:$Q$9</c:f>
              <c:numCache>
                <c:formatCode>General</c:formatCode>
                <c:ptCount val="16"/>
                <c:pt idx="0">
                  <c:v>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44-46ED-9B7F-3E200434AF0F}"/>
            </c:ext>
          </c:extLst>
        </c:ser>
        <c:ser>
          <c:idx val="8"/>
          <c:order val="8"/>
          <c:tx>
            <c:strRef>
              <c:f>'B-25 marks'!$A$10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'B-25 marks'!$B$1:$Q$1</c:f>
              <c:strCache>
                <c:ptCount val="1"/>
                <c:pt idx="0">
                  <c:v>For the following dataset:</c:v>
                </c:pt>
              </c:strCache>
            </c:strRef>
          </c:cat>
          <c:val>
            <c:numRef>
              <c:f>'B-25 marks'!$B$10:$Q$10</c:f>
              <c:numCache>
                <c:formatCode>General</c:formatCode>
                <c:ptCount val="16"/>
                <c:pt idx="0">
                  <c:v>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44-46ED-9B7F-3E200434AF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6554815"/>
        <c:axId val="236555775"/>
      </c:barChart>
      <c:catAx>
        <c:axId val="2365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555775"/>
        <c:crosses val="autoZero"/>
        <c:auto val="1"/>
        <c:lblAlgn val="ctr"/>
        <c:lblOffset val="100"/>
        <c:noMultiLvlLbl val="0"/>
      </c:catAx>
      <c:valAx>
        <c:axId val="2365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55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'C-25 marks'!$A$67:$A$88</c:f>
              <c:numCache>
                <c:formatCode>d\-mmm\-yy</c:formatCode>
                <c:ptCount val="22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44348</c:v>
                </c:pt>
                <c:pt idx="10">
                  <c:v>44349</c:v>
                </c:pt>
                <c:pt idx="11">
                  <c:v>44350</c:v>
                </c:pt>
                <c:pt idx="12">
                  <c:v>44351</c:v>
                </c:pt>
                <c:pt idx="13">
                  <c:v>44354</c:v>
                </c:pt>
                <c:pt idx="14">
                  <c:v>44355</c:v>
                </c:pt>
                <c:pt idx="15">
                  <c:v>44356</c:v>
                </c:pt>
                <c:pt idx="16">
                  <c:v>44357</c:v>
                </c:pt>
                <c:pt idx="17">
                  <c:v>44358</c:v>
                </c:pt>
                <c:pt idx="18">
                  <c:v>44348</c:v>
                </c:pt>
                <c:pt idx="19">
                  <c:v>44349</c:v>
                </c:pt>
                <c:pt idx="20">
                  <c:v>44350</c:v>
                </c:pt>
                <c:pt idx="21">
                  <c:v>44351</c:v>
                </c:pt>
              </c:numCache>
            </c:numRef>
          </c:cat>
          <c:val>
            <c:numRef>
              <c:f>'C-25 marks'!$F$67:$F$88</c:f>
              <c:numCache>
                <c:formatCode>General</c:formatCode>
                <c:ptCount val="22"/>
                <c:pt idx="0">
                  <c:v>73116782</c:v>
                </c:pt>
                <c:pt idx="1">
                  <c:v>150866245</c:v>
                </c:pt>
                <c:pt idx="2">
                  <c:v>126681590</c:v>
                </c:pt>
                <c:pt idx="3">
                  <c:v>125333298</c:v>
                </c:pt>
                <c:pt idx="4">
                  <c:v>123931567</c:v>
                </c:pt>
                <c:pt idx="5">
                  <c:v>80305137</c:v>
                </c:pt>
                <c:pt idx="6">
                  <c:v>99849601</c:v>
                </c:pt>
                <c:pt idx="7">
                  <c:v>57285263</c:v>
                </c:pt>
                <c:pt idx="8">
                  <c:v>94215096</c:v>
                </c:pt>
                <c:pt idx="9">
                  <c:v>73534986</c:v>
                </c:pt>
                <c:pt idx="10">
                  <c:v>59696269</c:v>
                </c:pt>
                <c:pt idx="11">
                  <c:v>73105347</c:v>
                </c:pt>
                <c:pt idx="12">
                  <c:v>76483039</c:v>
                </c:pt>
                <c:pt idx="13">
                  <c:v>122053732</c:v>
                </c:pt>
                <c:pt idx="14">
                  <c:v>63646621</c:v>
                </c:pt>
                <c:pt idx="15">
                  <c:v>67491862</c:v>
                </c:pt>
                <c:pt idx="16">
                  <c:v>61047544</c:v>
                </c:pt>
                <c:pt idx="17">
                  <c:v>47164355</c:v>
                </c:pt>
                <c:pt idx="18">
                  <c:v>141317283</c:v>
                </c:pt>
                <c:pt idx="19">
                  <c:v>51507645</c:v>
                </c:pt>
                <c:pt idx="20">
                  <c:v>77044012</c:v>
                </c:pt>
                <c:pt idx="21">
                  <c:v>42102528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8-4371-8A7A-0DC659F9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631663"/>
        <c:axId val="123963310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'C-25 marks'!$A$67:$A$88</c:f>
              <c:numCache>
                <c:formatCode>d\-mmm\-yy</c:formatCode>
                <c:ptCount val="22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44348</c:v>
                </c:pt>
                <c:pt idx="10">
                  <c:v>44349</c:v>
                </c:pt>
                <c:pt idx="11">
                  <c:v>44350</c:v>
                </c:pt>
                <c:pt idx="12">
                  <c:v>44351</c:v>
                </c:pt>
                <c:pt idx="13">
                  <c:v>44354</c:v>
                </c:pt>
                <c:pt idx="14">
                  <c:v>44355</c:v>
                </c:pt>
                <c:pt idx="15">
                  <c:v>44356</c:v>
                </c:pt>
                <c:pt idx="16">
                  <c:v>44357</c:v>
                </c:pt>
                <c:pt idx="17">
                  <c:v>44358</c:v>
                </c:pt>
                <c:pt idx="18">
                  <c:v>44348</c:v>
                </c:pt>
                <c:pt idx="19">
                  <c:v>44349</c:v>
                </c:pt>
                <c:pt idx="20">
                  <c:v>44350</c:v>
                </c:pt>
                <c:pt idx="21">
                  <c:v>44351</c:v>
                </c:pt>
              </c:numCache>
            </c:numRef>
          </c:cat>
          <c:val>
            <c:numRef>
              <c:f>'C-25 marks'!$G$67:$G$88</c:f>
              <c:numCache>
                <c:formatCode>General</c:formatCode>
                <c:ptCount val="22"/>
                <c:pt idx="0">
                  <c:v>4262.2299999999996</c:v>
                </c:pt>
                <c:pt idx="1">
                  <c:v>5581.18</c:v>
                </c:pt>
                <c:pt idx="2">
                  <c:v>4994.95</c:v>
                </c:pt>
                <c:pt idx="3">
                  <c:v>6004.72</c:v>
                </c:pt>
                <c:pt idx="4">
                  <c:v>6004.92</c:v>
                </c:pt>
                <c:pt idx="5">
                  <c:v>3765.97</c:v>
                </c:pt>
                <c:pt idx="6">
                  <c:v>4562.13</c:v>
                </c:pt>
                <c:pt idx="7">
                  <c:v>2830.05</c:v>
                </c:pt>
                <c:pt idx="8">
                  <c:v>3309.4</c:v>
                </c:pt>
                <c:pt idx="9">
                  <c:v>3189.15</c:v>
                </c:pt>
                <c:pt idx="10">
                  <c:v>2808.93</c:v>
                </c:pt>
                <c:pt idx="11">
                  <c:v>2970.03</c:v>
                </c:pt>
                <c:pt idx="12">
                  <c:v>3429.1</c:v>
                </c:pt>
                <c:pt idx="13">
                  <c:v>5095.84</c:v>
                </c:pt>
                <c:pt idx="14">
                  <c:v>2861.4</c:v>
                </c:pt>
                <c:pt idx="15">
                  <c:v>3985.29</c:v>
                </c:pt>
                <c:pt idx="16">
                  <c:v>4569</c:v>
                </c:pt>
                <c:pt idx="17">
                  <c:v>2821.97</c:v>
                </c:pt>
                <c:pt idx="18">
                  <c:v>4074.08</c:v>
                </c:pt>
                <c:pt idx="19">
                  <c:v>2049.35</c:v>
                </c:pt>
                <c:pt idx="20">
                  <c:v>3239.42</c:v>
                </c:pt>
                <c:pt idx="21">
                  <c:v>2468.92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8-4371-8A7A-0DC659F9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54319"/>
        <c:axId val="1236852879"/>
      </c:lineChart>
      <c:dateAx>
        <c:axId val="123963166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633103"/>
        <c:crosses val="autoZero"/>
        <c:auto val="1"/>
        <c:lblOffset val="100"/>
        <c:baseTimeUnit val="days"/>
      </c:dateAx>
      <c:valAx>
        <c:axId val="12396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631663"/>
        <c:crosses val="autoZero"/>
        <c:crossBetween val="between"/>
      </c:valAx>
      <c:valAx>
        <c:axId val="12368528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54319"/>
        <c:crosses val="max"/>
        <c:crossBetween val="between"/>
      </c:valAx>
      <c:dateAx>
        <c:axId val="1236854319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23685287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BD3876C-BC7B-4DBA-84CB-95886798056A}" formatIdx="0">
          <cx:dataId val="0"/>
          <cx:layoutPr>
            <cx:aggregation/>
          </cx:layoutPr>
          <cx:axisId val="1"/>
        </cx:series>
        <cx:series layoutId="paretoLine" ownerIdx="0" uniqueId="{0C2576D3-CFC5-41A9-B327-9E5D2E6A331F}" formatIdx="1">
          <cx:axisId val="2"/>
        </cx:series>
        <cx:series layoutId="clusteredColumn" hidden="1" uniqueId="{4100826A-D595-44BD-B0C0-CC94C2A41A83}" formatIdx="2">
          <cx:dataId val="1"/>
          <cx:layoutPr>
            <cx:aggregation/>
          </cx:layoutPr>
          <cx:axisId val="1"/>
        </cx:series>
        <cx:series layoutId="paretoLine" ownerIdx="2" uniqueId="{EDF0C47F-D879-4FCF-9487-321E21A60DB1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6B3DD3-C423-40F3-AE3C-40E045D2627E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25230-04B6-7B12-BD18-2AB2E95089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430695</xdr:colOff>
      <xdr:row>1</xdr:row>
      <xdr:rowOff>442291</xdr:rowOff>
    </xdr:from>
    <xdr:to>
      <xdr:col>31</xdr:col>
      <xdr:colOff>99390</xdr:colOff>
      <xdr:row>15</xdr:row>
      <xdr:rowOff>104361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07239F-A244-FFA6-68C2-EDEAABDA9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8673" y="63279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447261</xdr:colOff>
      <xdr:row>15</xdr:row>
      <xdr:rowOff>132522</xdr:rowOff>
    </xdr:from>
    <xdr:to>
      <xdr:col>31</xdr:col>
      <xdr:colOff>115958</xdr:colOff>
      <xdr:row>30</xdr:row>
      <xdr:rowOff>18222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7FAA03-DB79-4907-A883-195FD6016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Q32"/>
  <sheetViews>
    <sheetView tabSelected="1" workbookViewId="0">
      <selection activeCell="O25" sqref="O25"/>
    </sheetView>
  </sheetViews>
  <sheetFormatPr defaultRowHeight="15" x14ac:dyDescent="0.25"/>
  <cols>
    <col min="1" max="1" width="9.140625" style="5"/>
    <col min="3" max="3" width="12.140625" customWidth="1"/>
    <col min="4" max="4" width="13.85546875" customWidth="1"/>
    <col min="6" max="6" width="12.42578125" bestFit="1" customWidth="1"/>
    <col min="8" max="8" width="36.42578125" bestFit="1" customWidth="1"/>
    <col min="13" max="13" width="9.42578125" customWidth="1"/>
    <col min="14" max="14" width="10.5703125" customWidth="1"/>
    <col min="15" max="15" width="8.7109375" customWidth="1"/>
    <col min="16" max="16" width="9.7109375" customWidth="1"/>
  </cols>
  <sheetData>
    <row r="1" spans="1:17" x14ac:dyDescent="0.25"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55.5" customHeight="1" x14ac:dyDescent="0.25">
      <c r="A2" s="5">
        <v>1</v>
      </c>
      <c r="B2" s="12" t="s">
        <v>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">
        <v>5</v>
      </c>
    </row>
    <row r="3" spans="1:17" x14ac:dyDescent="0.25">
      <c r="A3" s="5">
        <v>2</v>
      </c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4"/>
      <c r="Q3" s="15">
        <v>10</v>
      </c>
    </row>
    <row r="4" spans="1:17" ht="30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15"/>
    </row>
    <row r="5" spans="1:17" x14ac:dyDescent="0.25">
      <c r="B5" s="6" t="s">
        <v>6</v>
      </c>
      <c r="C5" s="4">
        <f>COUNTIF($G$13:$G$32,B5)</f>
        <v>6</v>
      </c>
      <c r="D5" s="4">
        <f>SUMIF($G$13:$G$32,B5,$E$13:$E$32)</f>
        <v>417</v>
      </c>
      <c r="E5" s="4">
        <f>AVERAGEIF($G$13:$G$32,B5,$E$13:$E$32)</f>
        <v>69.5</v>
      </c>
      <c r="F5" s="4">
        <f>RANK(E5,$E$5:$E$8)</f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15"/>
    </row>
    <row r="6" spans="1:17" x14ac:dyDescent="0.25">
      <c r="B6" s="6" t="s">
        <v>43</v>
      </c>
      <c r="C6" s="4">
        <f t="shared" ref="C6:C8" si="0">COUNTIF($G$13:$G$32,B6)</f>
        <v>6</v>
      </c>
      <c r="D6" s="4">
        <f t="shared" ref="D6:D8" si="1">SUMIF($G$13:$G$32,B6,$E$13:$E$32)</f>
        <v>322</v>
      </c>
      <c r="E6" s="4">
        <f t="shared" ref="E6:E8" si="2">AVERAGEIF($G$13:$G$32,B6,$E$13:$E$32)</f>
        <v>53.666666666666664</v>
      </c>
      <c r="F6" s="4">
        <f t="shared" ref="F6:F8" si="3">RANK(E6,$E$5:$E$8)</f>
        <v>3</v>
      </c>
      <c r="G6" s="3"/>
      <c r="H6" s="3"/>
      <c r="I6" s="3"/>
      <c r="J6" s="3"/>
      <c r="K6" s="3"/>
      <c r="L6" s="3"/>
      <c r="M6" s="3"/>
      <c r="N6" s="3"/>
      <c r="O6" s="3"/>
      <c r="P6" s="3"/>
      <c r="Q6" s="15"/>
    </row>
    <row r="7" spans="1:17" x14ac:dyDescent="0.25">
      <c r="B7" s="6" t="s">
        <v>44</v>
      </c>
      <c r="C7" s="4">
        <f t="shared" si="0"/>
        <v>4</v>
      </c>
      <c r="D7" s="4">
        <f t="shared" si="1"/>
        <v>197</v>
      </c>
      <c r="E7" s="4">
        <f t="shared" si="2"/>
        <v>49.25</v>
      </c>
      <c r="F7" s="4">
        <f t="shared" si="3"/>
        <v>4</v>
      </c>
      <c r="G7" s="3"/>
      <c r="H7" s="3"/>
      <c r="I7" s="3"/>
      <c r="J7" s="3"/>
      <c r="K7" s="3"/>
      <c r="L7" s="3"/>
      <c r="M7" s="3"/>
      <c r="N7" s="3"/>
      <c r="O7" s="3"/>
      <c r="P7" s="3"/>
      <c r="Q7" s="15"/>
    </row>
    <row r="8" spans="1:17" x14ac:dyDescent="0.25">
      <c r="B8" s="6" t="s">
        <v>45</v>
      </c>
      <c r="C8" s="4">
        <f t="shared" si="0"/>
        <v>4</v>
      </c>
      <c r="D8" s="4">
        <f t="shared" si="1"/>
        <v>232</v>
      </c>
      <c r="E8" s="4">
        <f t="shared" si="2"/>
        <v>58</v>
      </c>
      <c r="F8" s="4">
        <f t="shared" si="3"/>
        <v>2</v>
      </c>
      <c r="G8" s="3"/>
      <c r="H8" s="3"/>
      <c r="I8" s="3"/>
      <c r="J8" s="3"/>
      <c r="K8" s="3"/>
      <c r="L8" s="3"/>
      <c r="M8" s="3"/>
      <c r="N8" s="3"/>
      <c r="O8" s="3"/>
      <c r="P8" s="3"/>
      <c r="Q8" s="15"/>
    </row>
    <row r="9" spans="1:17" ht="31.5" customHeight="1" x14ac:dyDescent="0.25">
      <c r="A9" s="5">
        <v>4</v>
      </c>
      <c r="B9" s="12" t="s">
        <v>46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">
        <v>5</v>
      </c>
    </row>
    <row r="10" spans="1:17" ht="28.5" customHeight="1" x14ac:dyDescent="0.25">
      <c r="A10" s="5">
        <v>5</v>
      </c>
      <c r="B10" s="12" t="s">
        <v>47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">
        <v>5</v>
      </c>
    </row>
    <row r="12" spans="1:17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7" t="s">
        <v>12</v>
      </c>
      <c r="G12" s="6" t="s">
        <v>42</v>
      </c>
      <c r="H12" s="7" t="s">
        <v>13</v>
      </c>
    </row>
    <row r="13" spans="1:17" x14ac:dyDescent="0.25">
      <c r="B13" s="6">
        <v>1</v>
      </c>
      <c r="C13" s="6" t="s">
        <v>14</v>
      </c>
      <c r="D13" s="6" t="s">
        <v>15</v>
      </c>
      <c r="E13" s="6">
        <v>59</v>
      </c>
      <c r="F13" s="6" t="str">
        <f>IF(E13&lt;35,"FAIL",IF(E13&lt;50,"PASS",IF(E13&lt;60,"2nd Class",IF(E13&lt;75,"1st CLASS","DISTINCTION"))))</f>
        <v>2nd Class</v>
      </c>
      <c r="G13" s="6" t="s">
        <v>6</v>
      </c>
      <c r="H13" s="6" t="str">
        <f>CONCATENATE(C13," ", D13," ",G13," ", E13," ", F13)</f>
        <v>Masum Chopra Delhi 59 2nd Class</v>
      </c>
    </row>
    <row r="14" spans="1:17" x14ac:dyDescent="0.25">
      <c r="B14" s="6">
        <v>2</v>
      </c>
      <c r="C14" s="6" t="s">
        <v>16</v>
      </c>
      <c r="D14" s="6" t="s">
        <v>17</v>
      </c>
      <c r="E14" s="6">
        <v>20</v>
      </c>
      <c r="F14" s="6" t="str">
        <f t="shared" ref="F14:F32" si="4">IF(E14&lt;35,"FAIL",IF(E14&lt;50,"PASS",IF(E14&lt;60,"2nd Class",IF(E14&lt;75,"1st CLASS","DISTINCTION"))))</f>
        <v>FAIL</v>
      </c>
      <c r="G14" s="6" t="s">
        <v>43</v>
      </c>
      <c r="H14" s="6" t="str">
        <f t="shared" ref="H14:H32" si="5">CONCATENATE(C14," ", D14," ",G14," ", E14," ", F14)</f>
        <v>Prerna Agarwal Gujarat 20 FAIL</v>
      </c>
    </row>
    <row r="15" spans="1:17" x14ac:dyDescent="0.25">
      <c r="B15" s="6">
        <v>3</v>
      </c>
      <c r="C15" s="6" t="s">
        <v>18</v>
      </c>
      <c r="D15" s="6" t="s">
        <v>19</v>
      </c>
      <c r="E15" s="6">
        <v>56</v>
      </c>
      <c r="F15" s="6" t="str">
        <f t="shared" si="4"/>
        <v>2nd Class</v>
      </c>
      <c r="G15" s="6" t="s">
        <v>44</v>
      </c>
      <c r="H15" s="6" t="str">
        <f t="shared" si="5"/>
        <v>Rahil Saini Bihar 56 2nd Class</v>
      </c>
    </row>
    <row r="16" spans="1:17" x14ac:dyDescent="0.25">
      <c r="B16" s="6">
        <v>4</v>
      </c>
      <c r="C16" s="6" t="s">
        <v>20</v>
      </c>
      <c r="D16" s="6" t="s">
        <v>21</v>
      </c>
      <c r="E16" s="6">
        <v>75</v>
      </c>
      <c r="F16" s="6" t="str">
        <f t="shared" si="4"/>
        <v>DISTINCTION</v>
      </c>
      <c r="G16" s="6" t="s">
        <v>45</v>
      </c>
      <c r="H16" s="6" t="str">
        <f t="shared" si="5"/>
        <v>Pooja Patel Orissa 75 DISTINCTION</v>
      </c>
    </row>
    <row r="17" spans="2:8" x14ac:dyDescent="0.25">
      <c r="B17" s="6">
        <v>5</v>
      </c>
      <c r="C17" s="6" t="s">
        <v>22</v>
      </c>
      <c r="D17" s="6" t="s">
        <v>23</v>
      </c>
      <c r="E17" s="6">
        <v>68</v>
      </c>
      <c r="F17" s="6" t="str">
        <f t="shared" si="4"/>
        <v>1st CLASS</v>
      </c>
      <c r="G17" s="6" t="s">
        <v>6</v>
      </c>
      <c r="H17" s="6" t="str">
        <f t="shared" si="5"/>
        <v>Mohak Chaudhary Delhi 68 1st CLASS</v>
      </c>
    </row>
    <row r="18" spans="2:8" x14ac:dyDescent="0.25">
      <c r="B18" s="6">
        <v>6</v>
      </c>
      <c r="C18" s="6" t="s">
        <v>24</v>
      </c>
      <c r="D18" s="6" t="s">
        <v>25</v>
      </c>
      <c r="E18" s="6">
        <v>95</v>
      </c>
      <c r="F18" s="6" t="str">
        <f t="shared" si="4"/>
        <v>DISTINCTION</v>
      </c>
      <c r="G18" s="6" t="s">
        <v>43</v>
      </c>
      <c r="H18" s="6" t="str">
        <f t="shared" si="5"/>
        <v>Mini Desai Gujarat 95 DISTINCTION</v>
      </c>
    </row>
    <row r="19" spans="2:8" x14ac:dyDescent="0.25">
      <c r="B19" s="6">
        <v>7</v>
      </c>
      <c r="C19" s="6" t="s">
        <v>26</v>
      </c>
      <c r="D19" s="6" t="s">
        <v>21</v>
      </c>
      <c r="E19" s="6">
        <v>38</v>
      </c>
      <c r="F19" s="6" t="str">
        <f t="shared" si="4"/>
        <v>PASS</v>
      </c>
      <c r="G19" s="6" t="s">
        <v>6</v>
      </c>
      <c r="H19" s="6" t="str">
        <f t="shared" si="5"/>
        <v>Omi Patel Delhi 38 PASS</v>
      </c>
    </row>
    <row r="20" spans="2:8" x14ac:dyDescent="0.25">
      <c r="B20" s="6">
        <v>8</v>
      </c>
      <c r="C20" s="6" t="s">
        <v>27</v>
      </c>
      <c r="D20" s="6" t="s">
        <v>28</v>
      </c>
      <c r="E20" s="6">
        <v>63</v>
      </c>
      <c r="F20" s="6" t="str">
        <f t="shared" si="4"/>
        <v>1st CLASS</v>
      </c>
      <c r="G20" s="6" t="s">
        <v>43</v>
      </c>
      <c r="H20" s="6" t="str">
        <f t="shared" si="5"/>
        <v>Parshwa Kumar Gujarat 63 1st CLASS</v>
      </c>
    </row>
    <row r="21" spans="2:8" x14ac:dyDescent="0.25">
      <c r="B21" s="6">
        <v>9</v>
      </c>
      <c r="C21" s="6" t="s">
        <v>29</v>
      </c>
      <c r="D21" s="6" t="s">
        <v>15</v>
      </c>
      <c r="E21" s="6">
        <v>84</v>
      </c>
      <c r="F21" s="6" t="str">
        <f t="shared" si="4"/>
        <v>DISTINCTION</v>
      </c>
      <c r="G21" s="6" t="s">
        <v>6</v>
      </c>
      <c r="H21" s="6" t="str">
        <f t="shared" si="5"/>
        <v>Rohit Chopra Delhi 84 DISTINCTION</v>
      </c>
    </row>
    <row r="22" spans="2:8" x14ac:dyDescent="0.25">
      <c r="B22" s="6">
        <v>10</v>
      </c>
      <c r="C22" s="6" t="s">
        <v>30</v>
      </c>
      <c r="D22" s="6" t="s">
        <v>31</v>
      </c>
      <c r="E22" s="6">
        <v>45</v>
      </c>
      <c r="F22" s="6" t="str">
        <f t="shared" si="4"/>
        <v>PASS</v>
      </c>
      <c r="G22" s="6" t="s">
        <v>43</v>
      </c>
      <c r="H22" s="6" t="str">
        <f t="shared" si="5"/>
        <v>Kiran Singora Gujarat 45 PASS</v>
      </c>
    </row>
    <row r="23" spans="2:8" x14ac:dyDescent="0.25">
      <c r="B23" s="6">
        <v>11</v>
      </c>
      <c r="C23" s="6" t="s">
        <v>18</v>
      </c>
      <c r="D23" s="6" t="s">
        <v>15</v>
      </c>
      <c r="E23" s="6">
        <v>22</v>
      </c>
      <c r="F23" s="6" t="str">
        <f t="shared" si="4"/>
        <v>FAIL</v>
      </c>
      <c r="G23" s="6" t="s">
        <v>44</v>
      </c>
      <c r="H23" s="6" t="str">
        <f t="shared" si="5"/>
        <v>Rahil Chopra Bihar 22 FAIL</v>
      </c>
    </row>
    <row r="24" spans="2:8" x14ac:dyDescent="0.25">
      <c r="B24" s="6">
        <v>12</v>
      </c>
      <c r="C24" s="6" t="s">
        <v>33</v>
      </c>
      <c r="D24" s="6" t="s">
        <v>17</v>
      </c>
      <c r="E24" s="6">
        <v>69</v>
      </c>
      <c r="F24" s="6" t="str">
        <f t="shared" si="4"/>
        <v>1st CLASS</v>
      </c>
      <c r="G24" s="6" t="s">
        <v>45</v>
      </c>
      <c r="H24" s="6" t="str">
        <f t="shared" si="5"/>
        <v>Sree Agarwal Orissa 69 1st CLASS</v>
      </c>
    </row>
    <row r="25" spans="2:8" x14ac:dyDescent="0.25">
      <c r="B25" s="6">
        <v>13</v>
      </c>
      <c r="C25" s="6" t="s">
        <v>34</v>
      </c>
      <c r="D25" s="6" t="s">
        <v>19</v>
      </c>
      <c r="E25" s="6">
        <v>78</v>
      </c>
      <c r="F25" s="6" t="str">
        <f t="shared" si="4"/>
        <v>DISTINCTION</v>
      </c>
      <c r="G25" s="6" t="s">
        <v>6</v>
      </c>
      <c r="H25" s="6" t="str">
        <f t="shared" si="5"/>
        <v>Ram Saini Delhi 78 DISTINCTION</v>
      </c>
    </row>
    <row r="26" spans="2:8" x14ac:dyDescent="0.25">
      <c r="B26" s="6">
        <v>14</v>
      </c>
      <c r="C26" s="6" t="s">
        <v>35</v>
      </c>
      <c r="D26" s="6" t="s">
        <v>21</v>
      </c>
      <c r="E26" s="6">
        <v>54</v>
      </c>
      <c r="F26" s="6" t="str">
        <f t="shared" si="4"/>
        <v>2nd Class</v>
      </c>
      <c r="G26" s="6" t="s">
        <v>43</v>
      </c>
      <c r="H26" s="6" t="str">
        <f t="shared" si="5"/>
        <v>Piku Patel Gujarat 54 2nd Class</v>
      </c>
    </row>
    <row r="27" spans="2:8" x14ac:dyDescent="0.25">
      <c r="B27" s="6">
        <v>15</v>
      </c>
      <c r="C27" s="6" t="s">
        <v>36</v>
      </c>
      <c r="D27" s="6" t="s">
        <v>23</v>
      </c>
      <c r="E27" s="6">
        <v>85</v>
      </c>
      <c r="F27" s="6" t="str">
        <f t="shared" si="4"/>
        <v>DISTINCTION</v>
      </c>
      <c r="G27" s="6" t="s">
        <v>44</v>
      </c>
      <c r="H27" s="6" t="str">
        <f t="shared" si="5"/>
        <v>Naren Chaudhary Bihar 85 DISTINCTION</v>
      </c>
    </row>
    <row r="28" spans="2:8" x14ac:dyDescent="0.25">
      <c r="B28" s="6">
        <v>16</v>
      </c>
      <c r="C28" s="6" t="s">
        <v>37</v>
      </c>
      <c r="D28" s="6" t="s">
        <v>25</v>
      </c>
      <c r="E28" s="6">
        <v>28</v>
      </c>
      <c r="F28" s="6" t="str">
        <f t="shared" si="4"/>
        <v>FAIL</v>
      </c>
      <c r="G28" s="6" t="s">
        <v>45</v>
      </c>
      <c r="H28" s="6" t="str">
        <f t="shared" si="5"/>
        <v>Neeraj Desai Orissa 28 FAIL</v>
      </c>
    </row>
    <row r="29" spans="2:8" x14ac:dyDescent="0.25">
      <c r="B29" s="6">
        <v>17</v>
      </c>
      <c r="C29" s="6" t="s">
        <v>38</v>
      </c>
      <c r="D29" s="6" t="s">
        <v>21</v>
      </c>
      <c r="E29" s="6">
        <v>90</v>
      </c>
      <c r="F29" s="6" t="str">
        <f t="shared" si="4"/>
        <v>DISTINCTION</v>
      </c>
      <c r="G29" s="6" t="s">
        <v>6</v>
      </c>
      <c r="H29" s="6" t="str">
        <f t="shared" si="5"/>
        <v>Maya Patel Delhi 90 DISTINCTION</v>
      </c>
    </row>
    <row r="30" spans="2:8" x14ac:dyDescent="0.25">
      <c r="B30" s="6">
        <v>18</v>
      </c>
      <c r="C30" s="6" t="s">
        <v>39</v>
      </c>
      <c r="D30" s="6" t="s">
        <v>28</v>
      </c>
      <c r="E30" s="6">
        <v>45</v>
      </c>
      <c r="F30" s="6" t="str">
        <f t="shared" si="4"/>
        <v>PASS</v>
      </c>
      <c r="G30" s="6" t="s">
        <v>43</v>
      </c>
      <c r="H30" s="6" t="str">
        <f t="shared" si="5"/>
        <v>Malvika Kumar Gujarat 45 PASS</v>
      </c>
    </row>
    <row r="31" spans="2:8" x14ac:dyDescent="0.25">
      <c r="B31" s="6">
        <v>19</v>
      </c>
      <c r="C31" s="6" t="s">
        <v>40</v>
      </c>
      <c r="D31" s="6" t="s">
        <v>15</v>
      </c>
      <c r="E31" s="6">
        <v>34</v>
      </c>
      <c r="F31" s="6" t="str">
        <f t="shared" si="4"/>
        <v>FAIL</v>
      </c>
      <c r="G31" s="6" t="s">
        <v>44</v>
      </c>
      <c r="H31" s="6" t="str">
        <f t="shared" si="5"/>
        <v>Monika Chopra Bihar 34 FAIL</v>
      </c>
    </row>
    <row r="32" spans="2:8" x14ac:dyDescent="0.25">
      <c r="B32" s="6">
        <v>20</v>
      </c>
      <c r="C32" s="6" t="s">
        <v>41</v>
      </c>
      <c r="D32" s="6" t="s">
        <v>31</v>
      </c>
      <c r="E32" s="6">
        <v>60</v>
      </c>
      <c r="F32" s="6" t="str">
        <f t="shared" si="4"/>
        <v>1st CLASS</v>
      </c>
      <c r="G32" s="6" t="s">
        <v>45</v>
      </c>
      <c r="H32" s="6" t="str">
        <f t="shared" si="5"/>
        <v>Shobhit Singora Orissa 60 1st CLASS</v>
      </c>
    </row>
  </sheetData>
  <mergeCells count="6">
    <mergeCell ref="B10:P10"/>
    <mergeCell ref="B1:Q1"/>
    <mergeCell ref="B2:P2"/>
    <mergeCell ref="B3:P3"/>
    <mergeCell ref="Q3:Q8"/>
    <mergeCell ref="B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U88"/>
  <sheetViews>
    <sheetView zoomScale="115" zoomScaleNormal="115" workbookViewId="0">
      <selection activeCell="H24" sqref="H24"/>
    </sheetView>
  </sheetViews>
  <sheetFormatPr defaultRowHeight="15" x14ac:dyDescent="0.25"/>
  <cols>
    <col min="1" max="1" width="10.7109375" bestFit="1" customWidth="1"/>
    <col min="2" max="2" width="9" customWidth="1"/>
    <col min="3" max="5" width="9" bestFit="1" customWidth="1"/>
    <col min="6" max="6" width="13.5703125" bestFit="1" customWidth="1"/>
    <col min="7" max="7" width="15.85546875" bestFit="1" customWidth="1"/>
    <col min="8" max="8" width="10.42578125" bestFit="1" customWidth="1"/>
    <col min="11" max="11" width="3.28515625" customWidth="1"/>
    <col min="12" max="16" width="9.140625" hidden="1" customWidth="1"/>
    <col min="18" max="18" width="11.28515625" bestFit="1" customWidth="1"/>
  </cols>
  <sheetData>
    <row r="1" spans="1:21" x14ac:dyDescent="0.25"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1" ht="39.75" customHeight="1" x14ac:dyDescent="0.25">
      <c r="A2" s="10">
        <v>1</v>
      </c>
      <c r="B2" s="12" t="s">
        <v>56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">
        <v>15</v>
      </c>
    </row>
    <row r="3" spans="1:21" ht="22.5" customHeight="1" x14ac:dyDescent="0.25">
      <c r="A3" s="10">
        <v>2</v>
      </c>
      <c r="B3" s="12" t="s">
        <v>55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">
        <v>10</v>
      </c>
    </row>
    <row r="6" spans="1:21" x14ac:dyDescent="0.25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1"/>
    </row>
    <row r="7" spans="1:21" x14ac:dyDescent="0.25">
      <c r="A7" s="8">
        <v>44256</v>
      </c>
      <c r="B7" s="9">
        <v>10304.25</v>
      </c>
      <c r="C7" s="9">
        <v>10472.700000000001</v>
      </c>
      <c r="D7" s="9">
        <v>10292.75</v>
      </c>
      <c r="E7" s="9">
        <v>10411.799999999999</v>
      </c>
      <c r="F7" s="9">
        <v>161742834</v>
      </c>
      <c r="G7" s="9">
        <v>7265.61</v>
      </c>
    </row>
    <row r="8" spans="1:21" x14ac:dyDescent="0.25">
      <c r="A8" s="8">
        <v>44257</v>
      </c>
      <c r="B8" s="9">
        <v>10491.8</v>
      </c>
      <c r="C8" s="9">
        <v>10766.7</v>
      </c>
      <c r="D8" s="9">
        <v>10419.75</v>
      </c>
      <c r="E8" s="9">
        <v>10744.05</v>
      </c>
      <c r="F8" s="9">
        <v>203848525</v>
      </c>
      <c r="G8" s="9">
        <v>9214.92</v>
      </c>
      <c r="R8" t="s">
        <v>48</v>
      </c>
      <c r="S8" t="s">
        <v>49</v>
      </c>
      <c r="T8" t="s">
        <v>50</v>
      </c>
      <c r="U8" t="s">
        <v>51</v>
      </c>
    </row>
    <row r="9" spans="1:21" x14ac:dyDescent="0.25">
      <c r="A9" s="8">
        <v>44258</v>
      </c>
      <c r="B9" s="9">
        <v>10819.05</v>
      </c>
      <c r="C9" s="9">
        <v>10820.4</v>
      </c>
      <c r="D9" s="9">
        <v>10640.15</v>
      </c>
      <c r="E9" s="9">
        <v>10673.1</v>
      </c>
      <c r="F9" s="9">
        <v>145083220</v>
      </c>
      <c r="G9" s="9">
        <v>6609.62</v>
      </c>
      <c r="R9" s="16">
        <v>44258</v>
      </c>
      <c r="S9">
        <f>VLOOKUP(R9,A6:G88,2,FALSE)</f>
        <v>10819.05</v>
      </c>
      <c r="T9">
        <f>VLOOKUP(R9,A6:G88,3,TRUE)</f>
        <v>10820.4</v>
      </c>
      <c r="U9">
        <f>VLOOKUP(R9,A6:G88,4,TRUE)</f>
        <v>10640.15</v>
      </c>
    </row>
    <row r="10" spans="1:21" x14ac:dyDescent="0.25">
      <c r="A10" s="8">
        <v>44259</v>
      </c>
      <c r="B10" s="9">
        <v>10559.4</v>
      </c>
      <c r="C10" s="9">
        <v>10710.1</v>
      </c>
      <c r="D10" s="9">
        <v>10514.3</v>
      </c>
      <c r="E10" s="9">
        <v>10625.75</v>
      </c>
      <c r="F10" s="9">
        <v>110349226</v>
      </c>
      <c r="G10" s="9">
        <v>5527.76</v>
      </c>
      <c r="R10" s="16">
        <v>44259</v>
      </c>
      <c r="S10">
        <f t="shared" ref="S10:S18" si="0">VLOOKUP(R10,A7:G89,2,FALSE)</f>
        <v>10559.4</v>
      </c>
      <c r="T10">
        <f t="shared" ref="T10:T18" si="1">VLOOKUP(R10,A7:G89,3,TRUE)</f>
        <v>10710.1</v>
      </c>
      <c r="U10">
        <f t="shared" ref="U10:U18" si="2">VLOOKUP(R10,A7:G89,4,TRUE)</f>
        <v>10514.3</v>
      </c>
    </row>
    <row r="11" spans="1:21" x14ac:dyDescent="0.25">
      <c r="A11" s="8">
        <v>44260</v>
      </c>
      <c r="B11" s="9">
        <v>10558.15</v>
      </c>
      <c r="C11" s="9">
        <v>10663.75</v>
      </c>
      <c r="D11" s="9">
        <v>10488.85</v>
      </c>
      <c r="E11" s="9">
        <v>10524.4</v>
      </c>
      <c r="F11" s="9">
        <v>143548748</v>
      </c>
      <c r="G11" s="9">
        <v>6994.24</v>
      </c>
      <c r="R11" s="16">
        <v>44260</v>
      </c>
      <c r="S11">
        <f t="shared" si="0"/>
        <v>10558.15</v>
      </c>
      <c r="T11">
        <f t="shared" si="1"/>
        <v>10663.75</v>
      </c>
      <c r="U11">
        <f t="shared" si="2"/>
        <v>10488.85</v>
      </c>
    </row>
    <row r="12" spans="1:21" x14ac:dyDescent="0.25">
      <c r="A12" s="8">
        <v>44263</v>
      </c>
      <c r="B12" s="9">
        <v>10597.8</v>
      </c>
      <c r="C12" s="9">
        <v>10632.1</v>
      </c>
      <c r="D12" s="9">
        <v>10488.4</v>
      </c>
      <c r="E12" s="9">
        <v>10507.35</v>
      </c>
      <c r="F12" s="9">
        <v>129958354</v>
      </c>
      <c r="G12" s="9">
        <v>5809.39</v>
      </c>
      <c r="R12" s="16">
        <v>44264</v>
      </c>
      <c r="S12">
        <f t="shared" si="0"/>
        <v>10572.65</v>
      </c>
      <c r="T12">
        <f t="shared" si="1"/>
        <v>10621.45</v>
      </c>
      <c r="U12">
        <f t="shared" si="2"/>
        <v>10381.6</v>
      </c>
    </row>
    <row r="13" spans="1:21" x14ac:dyDescent="0.25">
      <c r="A13" s="8">
        <v>44264</v>
      </c>
      <c r="B13" s="9">
        <v>10572.65</v>
      </c>
      <c r="C13" s="9">
        <v>10621.45</v>
      </c>
      <c r="D13" s="9">
        <v>10381.6</v>
      </c>
      <c r="E13" s="9">
        <v>10464.25</v>
      </c>
      <c r="F13" s="9">
        <v>128775369</v>
      </c>
      <c r="G13" s="9">
        <v>5034.34</v>
      </c>
      <c r="R13" s="16">
        <v>44267</v>
      </c>
      <c r="S13">
        <f t="shared" si="0"/>
        <v>10603.15</v>
      </c>
      <c r="T13">
        <f t="shared" si="1"/>
        <v>10624.35</v>
      </c>
      <c r="U13">
        <f t="shared" si="2"/>
        <v>10313.35</v>
      </c>
    </row>
    <row r="14" spans="1:21" x14ac:dyDescent="0.25">
      <c r="A14" s="8">
        <v>44265</v>
      </c>
      <c r="B14" s="9">
        <v>10525.75</v>
      </c>
      <c r="C14" s="9">
        <v>10613.6</v>
      </c>
      <c r="D14" s="9">
        <v>10511.15</v>
      </c>
      <c r="E14" s="9">
        <v>10559.3</v>
      </c>
      <c r="F14" s="9">
        <v>105320840</v>
      </c>
      <c r="G14" s="9">
        <v>4820.76</v>
      </c>
      <c r="R14" s="16">
        <v>44270</v>
      </c>
      <c r="S14">
        <f t="shared" si="0"/>
        <v>10446.75</v>
      </c>
      <c r="T14">
        <f t="shared" si="1"/>
        <v>10450.200000000001</v>
      </c>
      <c r="U14">
        <f t="shared" si="2"/>
        <v>10178.25</v>
      </c>
    </row>
    <row r="15" spans="1:21" x14ac:dyDescent="0.25">
      <c r="A15" s="8">
        <v>44267</v>
      </c>
      <c r="B15" s="9">
        <v>10603.15</v>
      </c>
      <c r="C15" s="9">
        <v>10624.35</v>
      </c>
      <c r="D15" s="9">
        <v>10313.35</v>
      </c>
      <c r="E15" s="9">
        <v>10383.9</v>
      </c>
      <c r="F15" s="9">
        <v>93164846</v>
      </c>
      <c r="G15" s="9">
        <v>4831.4399999999996</v>
      </c>
      <c r="R15" s="16">
        <v>44273</v>
      </c>
      <c r="S15">
        <f t="shared" si="0"/>
        <v>10251.950000000001</v>
      </c>
      <c r="T15">
        <f t="shared" si="1"/>
        <v>10345.200000000001</v>
      </c>
      <c r="U15">
        <f t="shared" si="2"/>
        <v>10039.549999999999</v>
      </c>
    </row>
    <row r="16" spans="1:21" x14ac:dyDescent="0.25">
      <c r="A16" s="8">
        <v>44270</v>
      </c>
      <c r="B16" s="9">
        <v>10446.75</v>
      </c>
      <c r="C16" s="9">
        <v>10450.200000000001</v>
      </c>
      <c r="D16" s="9">
        <v>10178.25</v>
      </c>
      <c r="E16" s="9">
        <v>10335.1</v>
      </c>
      <c r="F16" s="9">
        <v>92986219</v>
      </c>
      <c r="G16" s="9">
        <v>4192.1099999999997</v>
      </c>
      <c r="R16" s="16">
        <v>44277</v>
      </c>
      <c r="S16">
        <f t="shared" si="0"/>
        <v>10176.299999999999</v>
      </c>
      <c r="T16">
        <f t="shared" si="1"/>
        <v>10226.799999999999</v>
      </c>
      <c r="U16">
        <f t="shared" si="2"/>
        <v>10069.450000000001</v>
      </c>
    </row>
    <row r="17" spans="1:21" x14ac:dyDescent="0.25">
      <c r="A17" s="8">
        <v>44271</v>
      </c>
      <c r="B17" s="9">
        <v>10378.299999999999</v>
      </c>
      <c r="C17" s="9">
        <v>10401.25</v>
      </c>
      <c r="D17" s="9">
        <v>10301.700000000001</v>
      </c>
      <c r="E17" s="9">
        <v>10350.799999999999</v>
      </c>
      <c r="F17" s="9">
        <v>76199688</v>
      </c>
      <c r="G17" s="9">
        <v>3719.98</v>
      </c>
      <c r="R17" s="16">
        <v>44280</v>
      </c>
      <c r="S17">
        <f t="shared" si="0"/>
        <v>9916.6</v>
      </c>
      <c r="T17">
        <f t="shared" si="1"/>
        <v>9924.35</v>
      </c>
      <c r="U17">
        <f t="shared" si="2"/>
        <v>9605.0499999999993</v>
      </c>
    </row>
    <row r="18" spans="1:21" x14ac:dyDescent="0.25">
      <c r="A18" s="8">
        <v>44272</v>
      </c>
      <c r="B18" s="9">
        <v>10369.75</v>
      </c>
      <c r="C18" s="9">
        <v>10378.799999999999</v>
      </c>
      <c r="D18" s="9">
        <v>10133.9</v>
      </c>
      <c r="E18" s="9">
        <v>10159.1</v>
      </c>
      <c r="F18" s="9">
        <v>101835105</v>
      </c>
      <c r="G18" s="9">
        <v>4135.79</v>
      </c>
      <c r="R18" s="16">
        <v>44281</v>
      </c>
      <c r="S18">
        <f t="shared" si="0"/>
        <v>9766.4</v>
      </c>
      <c r="T18">
        <f t="shared" si="1"/>
        <v>9853.85</v>
      </c>
      <c r="U18">
        <f t="shared" si="2"/>
        <v>9749.4</v>
      </c>
    </row>
    <row r="19" spans="1:21" x14ac:dyDescent="0.25">
      <c r="A19" s="8">
        <v>44273</v>
      </c>
      <c r="B19" s="9">
        <v>10251.950000000001</v>
      </c>
      <c r="C19" s="9">
        <v>10345.200000000001</v>
      </c>
      <c r="D19" s="9">
        <v>10039.549999999999</v>
      </c>
      <c r="E19" s="9">
        <v>10143.950000000001</v>
      </c>
      <c r="F19" s="9">
        <v>149400391</v>
      </c>
      <c r="G19" s="9">
        <v>6107.54</v>
      </c>
    </row>
    <row r="20" spans="1:21" x14ac:dyDescent="0.25">
      <c r="A20" s="8">
        <v>44274</v>
      </c>
      <c r="B20" s="9">
        <v>10067.15</v>
      </c>
      <c r="C20" s="9">
        <v>10207.15</v>
      </c>
      <c r="D20" s="9">
        <v>9841.65</v>
      </c>
      <c r="E20" s="9">
        <v>10186.5</v>
      </c>
      <c r="F20" s="9">
        <v>193169078</v>
      </c>
      <c r="G20" s="9">
        <v>7822.19</v>
      </c>
    </row>
    <row r="21" spans="1:21" x14ac:dyDescent="0.25">
      <c r="A21" s="8">
        <v>44277</v>
      </c>
      <c r="B21" s="9">
        <v>10176.299999999999</v>
      </c>
      <c r="C21" s="9">
        <v>10226.799999999999</v>
      </c>
      <c r="D21" s="9">
        <v>10069.450000000001</v>
      </c>
      <c r="E21" s="9">
        <v>10140.450000000001</v>
      </c>
      <c r="F21" s="9">
        <v>97762665</v>
      </c>
      <c r="G21" s="9">
        <v>3947.25</v>
      </c>
    </row>
    <row r="22" spans="1:21" x14ac:dyDescent="0.25">
      <c r="A22" s="8">
        <v>44278</v>
      </c>
      <c r="B22" s="9">
        <v>10183.65</v>
      </c>
      <c r="C22" s="9">
        <v>10265</v>
      </c>
      <c r="D22" s="9">
        <v>10167.200000000001</v>
      </c>
      <c r="E22" s="9">
        <v>10187.65</v>
      </c>
      <c r="F22" s="9">
        <v>104759808</v>
      </c>
      <c r="G22" s="9">
        <v>4610.3999999999996</v>
      </c>
    </row>
    <row r="23" spans="1:21" x14ac:dyDescent="0.25">
      <c r="A23" s="8">
        <v>44279</v>
      </c>
      <c r="B23" s="9">
        <v>10116.700000000001</v>
      </c>
      <c r="C23" s="9">
        <v>10164.35</v>
      </c>
      <c r="D23" s="9">
        <v>9897.85</v>
      </c>
      <c r="E23" s="9">
        <v>9925.25</v>
      </c>
      <c r="F23" s="9">
        <v>109638896</v>
      </c>
      <c r="G23" s="9">
        <v>4480.5600000000004</v>
      </c>
    </row>
    <row r="24" spans="1:21" x14ac:dyDescent="0.25">
      <c r="A24" s="8">
        <v>44280</v>
      </c>
      <c r="B24" s="9">
        <v>9916.6</v>
      </c>
      <c r="C24" s="9">
        <v>9924.35</v>
      </c>
      <c r="D24" s="9">
        <v>9605.0499999999993</v>
      </c>
      <c r="E24" s="9">
        <v>9651.35</v>
      </c>
      <c r="F24" s="9">
        <v>167022338</v>
      </c>
      <c r="G24" s="9">
        <v>6347.19</v>
      </c>
    </row>
    <row r="25" spans="1:21" x14ac:dyDescent="0.25">
      <c r="A25" s="8">
        <v>44281</v>
      </c>
      <c r="B25" s="9">
        <v>9766.4</v>
      </c>
      <c r="C25" s="9">
        <v>9853.85</v>
      </c>
      <c r="D25" s="9">
        <v>9749.4</v>
      </c>
      <c r="E25" s="9">
        <v>9771.5</v>
      </c>
      <c r="F25" s="9">
        <v>132881924</v>
      </c>
      <c r="G25" s="9">
        <v>5089.3100000000004</v>
      </c>
    </row>
    <row r="26" spans="1:21" x14ac:dyDescent="0.25">
      <c r="A26" s="8">
        <v>44285</v>
      </c>
      <c r="B26" s="9">
        <v>9835.85</v>
      </c>
      <c r="C26" s="9">
        <v>9885.9500000000007</v>
      </c>
      <c r="D26" s="9">
        <v>9749.35</v>
      </c>
      <c r="E26" s="9">
        <v>9865</v>
      </c>
      <c r="F26" s="9">
        <v>94636811</v>
      </c>
      <c r="G26" s="9">
        <v>4524.5200000000004</v>
      </c>
    </row>
    <row r="27" spans="1:21" x14ac:dyDescent="0.25">
      <c r="A27" s="8">
        <v>44286</v>
      </c>
      <c r="B27" s="9">
        <v>9866</v>
      </c>
      <c r="C27" s="9">
        <v>9946.9500000000007</v>
      </c>
      <c r="D27" s="9">
        <v>9812.25</v>
      </c>
      <c r="E27" s="9">
        <v>9862.4500000000007</v>
      </c>
      <c r="F27" s="9">
        <v>98695893</v>
      </c>
      <c r="G27" s="9">
        <v>4364.07</v>
      </c>
    </row>
    <row r="28" spans="1:21" x14ac:dyDescent="0.25">
      <c r="A28" s="8">
        <v>44287</v>
      </c>
      <c r="B28" s="9">
        <v>9967.85</v>
      </c>
      <c r="C28" s="9">
        <v>10044.6</v>
      </c>
      <c r="D28" s="9">
        <v>9889.7000000000007</v>
      </c>
      <c r="E28" s="9">
        <v>10022.6</v>
      </c>
      <c r="F28" s="9">
        <v>93981628</v>
      </c>
      <c r="G28" s="9">
        <v>4167.6899999999996</v>
      </c>
    </row>
    <row r="29" spans="1:21" x14ac:dyDescent="0.25">
      <c r="A29" s="8">
        <v>44291</v>
      </c>
      <c r="B29" s="9">
        <v>9988.1</v>
      </c>
      <c r="C29" s="9">
        <v>9991.2999999999993</v>
      </c>
      <c r="D29" s="9">
        <v>9688.4</v>
      </c>
      <c r="E29" s="9">
        <v>9768.0499999999993</v>
      </c>
      <c r="F29" s="9">
        <v>115412838</v>
      </c>
      <c r="G29" s="9">
        <v>4730.76</v>
      </c>
    </row>
    <row r="30" spans="1:21" x14ac:dyDescent="0.25">
      <c r="A30" s="8">
        <v>44292</v>
      </c>
      <c r="B30" s="9">
        <v>9836.85</v>
      </c>
      <c r="C30" s="9">
        <v>9881.2000000000007</v>
      </c>
      <c r="D30" s="9">
        <v>9755.1</v>
      </c>
      <c r="E30" s="9">
        <v>9781.35</v>
      </c>
      <c r="F30" s="9">
        <v>98275351</v>
      </c>
      <c r="G30" s="9">
        <v>4108.51</v>
      </c>
    </row>
    <row r="31" spans="1:21" x14ac:dyDescent="0.25">
      <c r="A31" s="8">
        <v>44293</v>
      </c>
      <c r="B31" s="9">
        <v>9790</v>
      </c>
      <c r="C31" s="9">
        <v>9950.5499999999993</v>
      </c>
      <c r="D31" s="9">
        <v>9761.15</v>
      </c>
      <c r="E31" s="9">
        <v>9937</v>
      </c>
      <c r="F31" s="9">
        <v>83645837</v>
      </c>
      <c r="G31" s="9">
        <v>3362.11</v>
      </c>
    </row>
    <row r="32" spans="1:21" x14ac:dyDescent="0.25">
      <c r="A32" s="8">
        <v>44294</v>
      </c>
      <c r="B32" s="9">
        <v>9992.2999999999993</v>
      </c>
      <c r="C32" s="9">
        <v>10083.299999999999</v>
      </c>
      <c r="D32" s="9">
        <v>9933.1</v>
      </c>
      <c r="E32" s="9">
        <v>9959.35</v>
      </c>
      <c r="F32" s="9">
        <v>143994891</v>
      </c>
      <c r="G32" s="9">
        <v>4864.18</v>
      </c>
    </row>
    <row r="33" spans="1:7" x14ac:dyDescent="0.25">
      <c r="A33" s="8">
        <v>44295</v>
      </c>
      <c r="B33" s="9">
        <v>9961.5499999999993</v>
      </c>
      <c r="C33" s="9">
        <v>10032.85</v>
      </c>
      <c r="D33" s="9">
        <v>9885.6</v>
      </c>
      <c r="E33" s="9">
        <v>9922.9500000000007</v>
      </c>
      <c r="F33" s="9">
        <v>124222936</v>
      </c>
      <c r="G33" s="9">
        <v>4706.09</v>
      </c>
    </row>
    <row r="34" spans="1:7" x14ac:dyDescent="0.25">
      <c r="A34" s="8">
        <v>44298</v>
      </c>
      <c r="B34" s="9">
        <v>9738.35</v>
      </c>
      <c r="C34" s="9">
        <v>9738.35</v>
      </c>
      <c r="D34" s="9">
        <v>9345.2000000000007</v>
      </c>
      <c r="E34" s="9">
        <v>9415.65</v>
      </c>
      <c r="F34" s="9">
        <v>171306475</v>
      </c>
      <c r="G34" s="9">
        <v>6248.58</v>
      </c>
    </row>
    <row r="35" spans="1:7" x14ac:dyDescent="0.25">
      <c r="A35" s="8">
        <v>44299</v>
      </c>
      <c r="B35" s="9">
        <v>9438.2000000000007</v>
      </c>
      <c r="C35" s="9">
        <v>9845.5</v>
      </c>
      <c r="D35" s="9">
        <v>9406.4</v>
      </c>
      <c r="E35" s="9">
        <v>9818.2999999999993</v>
      </c>
      <c r="F35" s="9">
        <v>182406912</v>
      </c>
      <c r="G35" s="9">
        <v>6980.58</v>
      </c>
    </row>
    <row r="36" spans="1:7" x14ac:dyDescent="0.25">
      <c r="A36" s="8">
        <v>44301</v>
      </c>
      <c r="B36" s="9">
        <v>9787.85</v>
      </c>
      <c r="C36" s="9">
        <v>9817</v>
      </c>
      <c r="D36" s="9">
        <v>9558.7000000000007</v>
      </c>
      <c r="E36" s="9">
        <v>9691.4500000000007</v>
      </c>
      <c r="F36" s="9">
        <v>124802146</v>
      </c>
      <c r="G36" s="9">
        <v>5587.78</v>
      </c>
    </row>
    <row r="37" spans="1:7" x14ac:dyDescent="0.25">
      <c r="A37" s="8">
        <v>44302</v>
      </c>
      <c r="B37" s="9">
        <v>9691.2999999999993</v>
      </c>
      <c r="C37" s="9">
        <v>9926.4500000000007</v>
      </c>
      <c r="D37" s="9">
        <v>9679.5</v>
      </c>
      <c r="E37" s="9">
        <v>9808.9500000000007</v>
      </c>
      <c r="F37" s="9">
        <v>123527904</v>
      </c>
      <c r="G37" s="9">
        <v>5262.59</v>
      </c>
    </row>
    <row r="38" spans="1:7" x14ac:dyDescent="0.25">
      <c r="A38" s="8">
        <v>44305</v>
      </c>
      <c r="B38" s="9">
        <v>9476.65</v>
      </c>
      <c r="C38" s="9">
        <v>9562.9500000000007</v>
      </c>
      <c r="D38" s="9">
        <v>9395.25</v>
      </c>
      <c r="E38" s="9">
        <v>9532.15</v>
      </c>
      <c r="F38" s="9">
        <v>127131479</v>
      </c>
      <c r="G38" s="9">
        <v>4684.37</v>
      </c>
    </row>
    <row r="39" spans="1:7" x14ac:dyDescent="0.25">
      <c r="A39" s="8">
        <v>44306</v>
      </c>
      <c r="B39" s="9">
        <v>9683.9500000000007</v>
      </c>
      <c r="C39" s="9">
        <v>9738.1</v>
      </c>
      <c r="D39" s="9">
        <v>9539.7000000000007</v>
      </c>
      <c r="E39" s="9">
        <v>9630.7000000000007</v>
      </c>
      <c r="F39" s="9">
        <v>115384411</v>
      </c>
      <c r="G39" s="9">
        <v>4782.09</v>
      </c>
    </row>
    <row r="40" spans="1:7" x14ac:dyDescent="0.25">
      <c r="A40" s="8">
        <v>44308</v>
      </c>
      <c r="B40" s="9">
        <v>9529.2999999999993</v>
      </c>
      <c r="C40" s="9">
        <v>9665.9500000000007</v>
      </c>
      <c r="D40" s="9">
        <v>9503.7999999999993</v>
      </c>
      <c r="E40" s="9">
        <v>9644.5499999999993</v>
      </c>
      <c r="F40" s="9">
        <v>117258633</v>
      </c>
      <c r="G40" s="9">
        <v>4926.51</v>
      </c>
    </row>
    <row r="41" spans="1:7" x14ac:dyDescent="0.25">
      <c r="A41" s="8">
        <v>44309</v>
      </c>
      <c r="B41" s="9">
        <v>9569.25</v>
      </c>
      <c r="C41" s="9">
        <v>9695.9</v>
      </c>
      <c r="D41" s="9">
        <v>9534.9</v>
      </c>
      <c r="E41" s="9">
        <v>9596.9500000000007</v>
      </c>
      <c r="F41" s="9">
        <v>117321310</v>
      </c>
      <c r="G41" s="9">
        <v>4400.76</v>
      </c>
    </row>
    <row r="42" spans="1:7" x14ac:dyDescent="0.25">
      <c r="A42" s="8">
        <v>44312</v>
      </c>
      <c r="B42" s="9">
        <v>9630.2000000000007</v>
      </c>
      <c r="C42" s="9">
        <v>9713.1</v>
      </c>
      <c r="D42" s="9">
        <v>9612.7000000000007</v>
      </c>
      <c r="E42" s="9">
        <v>9641.4500000000007</v>
      </c>
      <c r="F42" s="9">
        <v>69631610</v>
      </c>
      <c r="G42" s="9">
        <v>3431.78</v>
      </c>
    </row>
    <row r="43" spans="1:7" x14ac:dyDescent="0.25">
      <c r="A43" s="8">
        <v>44313</v>
      </c>
      <c r="B43" s="9">
        <v>9662.2999999999993</v>
      </c>
      <c r="C43" s="9">
        <v>9733.7999999999993</v>
      </c>
      <c r="D43" s="9">
        <v>9653.9</v>
      </c>
      <c r="E43" s="9">
        <v>9708.2000000000007</v>
      </c>
      <c r="F43" s="9">
        <v>79787691</v>
      </c>
      <c r="G43" s="9">
        <v>3908.33</v>
      </c>
    </row>
    <row r="44" spans="1:7" x14ac:dyDescent="0.25">
      <c r="A44" s="8">
        <v>44314</v>
      </c>
      <c r="B44" s="9">
        <v>9781.5</v>
      </c>
      <c r="C44" s="9">
        <v>9968.4</v>
      </c>
      <c r="D44" s="9">
        <v>9758.15</v>
      </c>
      <c r="E44" s="9">
        <v>9871.5</v>
      </c>
      <c r="F44" s="9">
        <v>144645600</v>
      </c>
      <c r="G44" s="9">
        <v>7874.9</v>
      </c>
    </row>
    <row r="45" spans="1:7" x14ac:dyDescent="0.25">
      <c r="A45" s="8">
        <v>44315</v>
      </c>
      <c r="B45" s="9">
        <v>9959.2000000000007</v>
      </c>
      <c r="C45" s="9">
        <v>9985</v>
      </c>
      <c r="D45" s="9">
        <v>9754</v>
      </c>
      <c r="E45" s="9">
        <v>9773.7000000000007</v>
      </c>
      <c r="F45" s="9">
        <v>95398354</v>
      </c>
      <c r="G45" s="9">
        <v>4599.68</v>
      </c>
    </row>
    <row r="46" spans="1:7" x14ac:dyDescent="0.25">
      <c r="A46" s="8">
        <v>44316</v>
      </c>
      <c r="B46" s="9">
        <v>9701.2999999999993</v>
      </c>
      <c r="C46" s="9">
        <v>9780.35</v>
      </c>
      <c r="D46" s="9">
        <v>9619</v>
      </c>
      <c r="E46" s="9">
        <v>9640.85</v>
      </c>
      <c r="F46" s="9">
        <v>87886826</v>
      </c>
      <c r="G46" s="9">
        <v>4426.63</v>
      </c>
    </row>
    <row r="47" spans="1:7" x14ac:dyDescent="0.25">
      <c r="A47" s="8">
        <v>44319</v>
      </c>
      <c r="B47" s="9">
        <v>9539.5499999999993</v>
      </c>
      <c r="C47" s="9">
        <v>9715.9</v>
      </c>
      <c r="D47" s="9">
        <v>9485.5</v>
      </c>
      <c r="E47" s="9">
        <v>9662.9500000000007</v>
      </c>
      <c r="F47" s="9">
        <v>84173401</v>
      </c>
      <c r="G47" s="9">
        <v>3699.51</v>
      </c>
    </row>
    <row r="48" spans="1:7" x14ac:dyDescent="0.25">
      <c r="A48" s="8">
        <v>44320</v>
      </c>
      <c r="B48" s="9">
        <v>9728.4500000000007</v>
      </c>
      <c r="C48" s="9">
        <v>9758.7000000000007</v>
      </c>
      <c r="D48" s="9">
        <v>9541.2000000000007</v>
      </c>
      <c r="E48" s="9">
        <v>9577.7000000000007</v>
      </c>
      <c r="F48" s="9">
        <v>84571093</v>
      </c>
      <c r="G48" s="9">
        <v>3667.03</v>
      </c>
    </row>
    <row r="49" spans="1:7" x14ac:dyDescent="0.25">
      <c r="A49" s="8">
        <v>44321</v>
      </c>
      <c r="B49" s="9">
        <v>9631.0499999999993</v>
      </c>
      <c r="C49" s="9">
        <v>9662.1</v>
      </c>
      <c r="D49" s="9">
        <v>9547.75</v>
      </c>
      <c r="E49" s="9">
        <v>9643.0499999999993</v>
      </c>
      <c r="F49" s="9">
        <v>66458893</v>
      </c>
      <c r="G49" s="9">
        <v>2708.51</v>
      </c>
    </row>
    <row r="50" spans="1:7" x14ac:dyDescent="0.25">
      <c r="A50" s="8">
        <v>44322</v>
      </c>
      <c r="B50" s="9">
        <v>9669.2000000000007</v>
      </c>
      <c r="C50" s="9">
        <v>9826.5499999999993</v>
      </c>
      <c r="D50" s="9">
        <v>9664.2999999999993</v>
      </c>
      <c r="E50" s="9">
        <v>9815.1</v>
      </c>
      <c r="F50" s="9">
        <v>96767762</v>
      </c>
      <c r="G50" s="9">
        <v>4513.79</v>
      </c>
    </row>
    <row r="51" spans="1:7" x14ac:dyDescent="0.25">
      <c r="A51" s="8">
        <v>44323</v>
      </c>
      <c r="B51" s="9">
        <v>9858.35</v>
      </c>
      <c r="C51" s="9">
        <v>9907.4500000000007</v>
      </c>
      <c r="D51" s="9">
        <v>9767</v>
      </c>
      <c r="E51" s="9">
        <v>9819.4500000000007</v>
      </c>
      <c r="F51" s="9">
        <v>80119487</v>
      </c>
      <c r="G51" s="9">
        <v>3948.97</v>
      </c>
    </row>
    <row r="52" spans="1:7" x14ac:dyDescent="0.25">
      <c r="A52" s="8">
        <v>44326</v>
      </c>
      <c r="B52" s="9">
        <v>9856.65</v>
      </c>
      <c r="C52" s="9">
        <v>9984.7999999999993</v>
      </c>
      <c r="D52" s="9">
        <v>9834.5</v>
      </c>
      <c r="E52" s="9">
        <v>9973.0499999999993</v>
      </c>
      <c r="F52" s="9">
        <v>98657080</v>
      </c>
      <c r="G52" s="9">
        <v>3919.6</v>
      </c>
    </row>
    <row r="53" spans="1:7" x14ac:dyDescent="0.25">
      <c r="A53" s="8">
        <v>44327</v>
      </c>
      <c r="B53" s="9">
        <v>9874.9</v>
      </c>
      <c r="C53" s="9">
        <v>10029.85</v>
      </c>
      <c r="D53" s="9">
        <v>9852.2000000000007</v>
      </c>
      <c r="E53" s="9">
        <v>9995.1</v>
      </c>
      <c r="F53" s="9">
        <v>102884686</v>
      </c>
      <c r="G53" s="9">
        <v>4232.03</v>
      </c>
    </row>
    <row r="54" spans="1:7" x14ac:dyDescent="0.25">
      <c r="A54" s="8">
        <v>44328</v>
      </c>
      <c r="B54" s="9">
        <v>9992</v>
      </c>
      <c r="C54" s="9">
        <v>10066.799999999999</v>
      </c>
      <c r="D54" s="9">
        <v>9913.5</v>
      </c>
      <c r="E54" s="9">
        <v>10013.65</v>
      </c>
      <c r="F54" s="9">
        <v>159794759</v>
      </c>
      <c r="G54" s="9">
        <v>6314.43</v>
      </c>
    </row>
    <row r="55" spans="1:7" x14ac:dyDescent="0.25">
      <c r="A55" s="8">
        <v>44330</v>
      </c>
      <c r="B55" s="9">
        <v>10059.200000000001</v>
      </c>
      <c r="C55" s="9">
        <v>10061.5</v>
      </c>
      <c r="D55" s="9">
        <v>9777.5</v>
      </c>
      <c r="E55" s="9">
        <v>9810.4500000000007</v>
      </c>
      <c r="F55" s="9">
        <v>122799066</v>
      </c>
      <c r="G55" s="9">
        <v>4994.5</v>
      </c>
    </row>
    <row r="56" spans="1:7" x14ac:dyDescent="0.25">
      <c r="A56" s="8">
        <v>44333</v>
      </c>
      <c r="B56" s="9">
        <v>9844.15</v>
      </c>
      <c r="C56" s="9">
        <v>10037.799999999999</v>
      </c>
      <c r="D56" s="9">
        <v>9785.9</v>
      </c>
      <c r="E56" s="9">
        <v>10001.700000000001</v>
      </c>
      <c r="F56" s="9">
        <v>111287569</v>
      </c>
      <c r="G56" s="9">
        <v>5503.65</v>
      </c>
    </row>
    <row r="57" spans="1:7" x14ac:dyDescent="0.25">
      <c r="A57" s="8">
        <v>44334</v>
      </c>
      <c r="B57" s="9">
        <v>10102.4</v>
      </c>
      <c r="C57" s="9">
        <v>10344.5</v>
      </c>
      <c r="D57" s="9">
        <v>10070.25</v>
      </c>
      <c r="E57" s="9">
        <v>10324</v>
      </c>
      <c r="F57" s="9">
        <v>178051932</v>
      </c>
      <c r="G57" s="9">
        <v>7518.12</v>
      </c>
    </row>
    <row r="58" spans="1:7" x14ac:dyDescent="0.25">
      <c r="A58" s="8">
        <v>44335</v>
      </c>
      <c r="B58" s="9">
        <v>10231.85</v>
      </c>
      <c r="C58" s="9">
        <v>10303</v>
      </c>
      <c r="D58" s="9">
        <v>10179.450000000001</v>
      </c>
      <c r="E58" s="9">
        <v>10249.1</v>
      </c>
      <c r="F58" s="9">
        <v>183713092</v>
      </c>
      <c r="G58" s="9">
        <v>7013.42</v>
      </c>
    </row>
    <row r="59" spans="1:7" x14ac:dyDescent="0.25">
      <c r="A59" s="8">
        <v>44336</v>
      </c>
      <c r="B59" s="9">
        <v>10253.6</v>
      </c>
      <c r="C59" s="9">
        <v>10297.15</v>
      </c>
      <c r="D59" s="9">
        <v>10158.9</v>
      </c>
      <c r="E59" s="9">
        <v>10226.4</v>
      </c>
      <c r="F59" s="9">
        <v>111243776</v>
      </c>
      <c r="G59" s="9">
        <v>5412.63</v>
      </c>
    </row>
    <row r="60" spans="1:7" x14ac:dyDescent="0.25">
      <c r="A60" s="8">
        <v>44337</v>
      </c>
      <c r="B60" s="9">
        <v>10276.1</v>
      </c>
      <c r="C60" s="9">
        <v>10332</v>
      </c>
      <c r="D60" s="9">
        <v>10215.1</v>
      </c>
      <c r="E60" s="9">
        <v>10312.4</v>
      </c>
      <c r="F60" s="9">
        <v>84958643</v>
      </c>
      <c r="G60" s="9">
        <v>4390.92</v>
      </c>
    </row>
    <row r="61" spans="1:7" x14ac:dyDescent="0.25">
      <c r="A61" s="8">
        <v>44340</v>
      </c>
      <c r="B61" s="9">
        <v>10347.950000000001</v>
      </c>
      <c r="C61" s="9">
        <v>10390.299999999999</v>
      </c>
      <c r="D61" s="9">
        <v>10299.25</v>
      </c>
      <c r="E61" s="9">
        <v>10315.75</v>
      </c>
      <c r="F61" s="9">
        <v>76938445</v>
      </c>
      <c r="G61" s="9">
        <v>4236.33</v>
      </c>
    </row>
    <row r="62" spans="1:7" x14ac:dyDescent="0.25">
      <c r="A62" s="8">
        <v>44341</v>
      </c>
      <c r="B62" s="9">
        <v>10398.65</v>
      </c>
      <c r="C62" s="9">
        <v>10424.25</v>
      </c>
      <c r="D62" s="9">
        <v>10363.549999999999</v>
      </c>
      <c r="E62" s="9">
        <v>10384.299999999999</v>
      </c>
      <c r="F62" s="9">
        <v>143652464</v>
      </c>
      <c r="G62" s="9">
        <v>7045.61</v>
      </c>
    </row>
    <row r="63" spans="1:7" x14ac:dyDescent="0.25">
      <c r="A63" s="8">
        <v>44342</v>
      </c>
      <c r="B63" s="9">
        <v>10423.450000000001</v>
      </c>
      <c r="C63" s="9">
        <v>10473.450000000001</v>
      </c>
      <c r="D63" s="9">
        <v>10399.1</v>
      </c>
      <c r="E63" s="9">
        <v>10437.799999999999</v>
      </c>
      <c r="F63" s="9">
        <v>76408438</v>
      </c>
      <c r="G63" s="9">
        <v>3803.14</v>
      </c>
    </row>
    <row r="64" spans="1:7" x14ac:dyDescent="0.25">
      <c r="A64" s="8">
        <v>44343</v>
      </c>
      <c r="B64" s="9">
        <v>10467.25</v>
      </c>
      <c r="C64" s="9">
        <v>10561.3</v>
      </c>
      <c r="D64" s="9">
        <v>10441.35</v>
      </c>
      <c r="E64" s="9">
        <v>10486</v>
      </c>
      <c r="F64" s="9">
        <v>108963327</v>
      </c>
      <c r="G64" s="9">
        <v>5961.33</v>
      </c>
    </row>
    <row r="65" spans="1:7" x14ac:dyDescent="0.25">
      <c r="A65" s="8">
        <v>44344</v>
      </c>
      <c r="B65" s="9">
        <v>10537.6</v>
      </c>
      <c r="C65" s="9">
        <v>10573.95</v>
      </c>
      <c r="D65" s="9">
        <v>10429.4</v>
      </c>
      <c r="E65" s="9">
        <v>10510.25</v>
      </c>
      <c r="F65" s="9">
        <v>76036986</v>
      </c>
      <c r="G65" s="9">
        <v>4473.92</v>
      </c>
    </row>
    <row r="66" spans="1:7" x14ac:dyDescent="0.25">
      <c r="A66" s="8">
        <v>44347</v>
      </c>
      <c r="B66" s="9">
        <v>10467</v>
      </c>
      <c r="C66" s="9">
        <v>10513.1</v>
      </c>
      <c r="D66" s="9">
        <v>10344.950000000001</v>
      </c>
      <c r="E66" s="9">
        <v>10491.85</v>
      </c>
      <c r="F66" s="9">
        <v>76871607</v>
      </c>
      <c r="G66" s="9">
        <v>4422.6899999999996</v>
      </c>
    </row>
    <row r="67" spans="1:7" x14ac:dyDescent="0.25">
      <c r="A67" s="8">
        <v>44348</v>
      </c>
      <c r="B67" s="9">
        <v>10507.3</v>
      </c>
      <c r="C67" s="9">
        <v>10619</v>
      </c>
      <c r="D67" s="9">
        <v>10443.75</v>
      </c>
      <c r="E67" s="9">
        <v>10457.85</v>
      </c>
      <c r="F67" s="9">
        <v>73116782</v>
      </c>
      <c r="G67" s="9">
        <v>4262.2299999999996</v>
      </c>
    </row>
    <row r="68" spans="1:7" x14ac:dyDescent="0.25">
      <c r="A68" s="8">
        <v>44349</v>
      </c>
      <c r="B68" s="9">
        <v>10431.549999999999</v>
      </c>
      <c r="C68" s="9">
        <v>10671.6</v>
      </c>
      <c r="D68" s="9">
        <v>10413.299999999999</v>
      </c>
      <c r="E68" s="9">
        <v>10647.75</v>
      </c>
      <c r="F68" s="9">
        <v>150866245</v>
      </c>
      <c r="G68" s="9">
        <v>5581.18</v>
      </c>
    </row>
    <row r="69" spans="1:7" x14ac:dyDescent="0.25">
      <c r="A69" s="8">
        <v>44350</v>
      </c>
      <c r="B69" s="9">
        <v>10683.25</v>
      </c>
      <c r="C69" s="9">
        <v>10690.45</v>
      </c>
      <c r="D69" s="9">
        <v>10600.65</v>
      </c>
      <c r="E69" s="9">
        <v>10647.65</v>
      </c>
      <c r="F69" s="9">
        <v>126681590</v>
      </c>
      <c r="G69" s="9">
        <v>4994.95</v>
      </c>
    </row>
    <row r="70" spans="1:7" x14ac:dyDescent="0.25">
      <c r="A70" s="8">
        <v>44351</v>
      </c>
      <c r="B70" s="9">
        <v>10672.85</v>
      </c>
      <c r="C70" s="9">
        <v>10749.15</v>
      </c>
      <c r="D70" s="9">
        <v>10634.9</v>
      </c>
      <c r="E70" s="9">
        <v>10735.75</v>
      </c>
      <c r="F70" s="9">
        <v>125333298</v>
      </c>
      <c r="G70" s="9">
        <v>6004.72</v>
      </c>
    </row>
    <row r="71" spans="1:7" x14ac:dyDescent="0.25">
      <c r="A71" s="8">
        <v>44354</v>
      </c>
      <c r="B71" s="9">
        <v>10814.25</v>
      </c>
      <c r="C71" s="9">
        <v>10888.25</v>
      </c>
      <c r="D71" s="9">
        <v>10791.2</v>
      </c>
      <c r="E71" s="9">
        <v>10806.55</v>
      </c>
      <c r="F71" s="9">
        <v>123931567</v>
      </c>
      <c r="G71" s="9">
        <v>6004.92</v>
      </c>
    </row>
    <row r="72" spans="1:7" x14ac:dyDescent="0.25">
      <c r="A72" s="8">
        <v>44355</v>
      </c>
      <c r="B72" s="9">
        <v>10836.05</v>
      </c>
      <c r="C72" s="9">
        <v>10889.65</v>
      </c>
      <c r="D72" s="9">
        <v>10762.15</v>
      </c>
      <c r="E72" s="9">
        <v>10873.9</v>
      </c>
      <c r="F72" s="9">
        <v>80305137</v>
      </c>
      <c r="G72" s="9">
        <v>3765.97</v>
      </c>
    </row>
    <row r="73" spans="1:7" x14ac:dyDescent="0.25">
      <c r="A73" s="8">
        <v>44356</v>
      </c>
      <c r="B73" s="9">
        <v>10889.15</v>
      </c>
      <c r="C73" s="9">
        <v>10913.95</v>
      </c>
      <c r="D73" s="9">
        <v>10670.55</v>
      </c>
      <c r="E73" s="9">
        <v>10734.4</v>
      </c>
      <c r="F73" s="9">
        <v>99849601</v>
      </c>
      <c r="G73" s="9">
        <v>4562.13</v>
      </c>
    </row>
    <row r="74" spans="1:7" x14ac:dyDescent="0.25">
      <c r="A74" s="8">
        <v>44357</v>
      </c>
      <c r="B74" s="9">
        <v>10773.85</v>
      </c>
      <c r="C74" s="9">
        <v>10781.5</v>
      </c>
      <c r="D74" s="9">
        <v>10681.9</v>
      </c>
      <c r="E74" s="9">
        <v>10722.7</v>
      </c>
      <c r="F74" s="9">
        <v>57285263</v>
      </c>
      <c r="G74" s="9">
        <v>2830.05</v>
      </c>
    </row>
    <row r="75" spans="1:7" x14ac:dyDescent="0.25">
      <c r="A75" s="8">
        <v>44358</v>
      </c>
      <c r="B75" s="9">
        <v>10772.35</v>
      </c>
      <c r="C75" s="9">
        <v>10807.15</v>
      </c>
      <c r="D75" s="9">
        <v>10717.25</v>
      </c>
      <c r="E75" s="9">
        <v>10765.5</v>
      </c>
      <c r="F75" s="9">
        <v>94215096</v>
      </c>
      <c r="G75" s="9">
        <v>3309.4</v>
      </c>
    </row>
    <row r="76" spans="1:7" x14ac:dyDescent="0.25">
      <c r="A76" s="8">
        <v>44348</v>
      </c>
      <c r="B76" s="9">
        <v>10755.35</v>
      </c>
      <c r="C76" s="9">
        <v>10767.8</v>
      </c>
      <c r="D76" s="9">
        <v>10570.85</v>
      </c>
      <c r="E76" s="9">
        <v>10753.1</v>
      </c>
      <c r="F76" s="9">
        <v>73534986</v>
      </c>
      <c r="G76" s="9">
        <v>3189.15</v>
      </c>
    </row>
    <row r="77" spans="1:7" x14ac:dyDescent="0.25">
      <c r="A77" s="8">
        <v>44349</v>
      </c>
      <c r="B77" s="9">
        <v>10768.2</v>
      </c>
      <c r="C77" s="9">
        <v>10803.25</v>
      </c>
      <c r="D77" s="9">
        <v>10739.4</v>
      </c>
      <c r="E77" s="9">
        <v>10754.4</v>
      </c>
      <c r="F77" s="9">
        <v>59696269</v>
      </c>
      <c r="G77" s="9">
        <v>2808.93</v>
      </c>
    </row>
    <row r="78" spans="1:7" x14ac:dyDescent="0.25">
      <c r="A78" s="8">
        <v>44350</v>
      </c>
      <c r="B78" s="9">
        <v>10742.5</v>
      </c>
      <c r="C78" s="9">
        <v>10772.25</v>
      </c>
      <c r="D78" s="9">
        <v>10644.55</v>
      </c>
      <c r="E78" s="9">
        <v>10669.45</v>
      </c>
      <c r="F78" s="9">
        <v>73105347</v>
      </c>
      <c r="G78" s="9">
        <v>2970.03</v>
      </c>
    </row>
    <row r="79" spans="1:7" x14ac:dyDescent="0.25">
      <c r="A79" s="8">
        <v>44351</v>
      </c>
      <c r="B79" s="9">
        <v>10618.7</v>
      </c>
      <c r="C79" s="9">
        <v>10664.95</v>
      </c>
      <c r="D79" s="9">
        <v>10484.950000000001</v>
      </c>
      <c r="E79" s="9">
        <v>10523</v>
      </c>
      <c r="F79" s="9">
        <v>76483039</v>
      </c>
      <c r="G79" s="9">
        <v>3429.1</v>
      </c>
    </row>
    <row r="80" spans="1:7" x14ac:dyDescent="0.25">
      <c r="A80" s="8">
        <v>44354</v>
      </c>
      <c r="B80" s="9">
        <v>10540.75</v>
      </c>
      <c r="C80" s="9">
        <v>10552.05</v>
      </c>
      <c r="D80" s="9">
        <v>10229.1</v>
      </c>
      <c r="E80" s="9">
        <v>10443.75</v>
      </c>
      <c r="F80" s="9">
        <v>122053732</v>
      </c>
      <c r="G80" s="9">
        <v>5095.84</v>
      </c>
    </row>
    <row r="81" spans="1:7" x14ac:dyDescent="0.25">
      <c r="A81" s="8">
        <v>44355</v>
      </c>
      <c r="B81" s="9">
        <v>10319.1</v>
      </c>
      <c r="C81" s="9">
        <v>10420.65</v>
      </c>
      <c r="D81" s="9">
        <v>10276.1</v>
      </c>
      <c r="E81" s="9">
        <v>10401.15</v>
      </c>
      <c r="F81" s="9">
        <v>63646621</v>
      </c>
      <c r="G81" s="9">
        <v>2861.4</v>
      </c>
    </row>
    <row r="82" spans="1:7" x14ac:dyDescent="0.25">
      <c r="A82" s="8">
        <v>44356</v>
      </c>
      <c r="B82" s="9">
        <v>10456</v>
      </c>
      <c r="C82" s="9">
        <v>10614.3</v>
      </c>
      <c r="D82" s="9">
        <v>10451.5</v>
      </c>
      <c r="E82" s="9">
        <v>10540.45</v>
      </c>
      <c r="F82" s="9">
        <v>67491862</v>
      </c>
      <c r="G82" s="9">
        <v>3985.29</v>
      </c>
    </row>
    <row r="83" spans="1:7" x14ac:dyDescent="0.25">
      <c r="A83" s="8">
        <v>44357</v>
      </c>
      <c r="B83" s="9">
        <v>10599.5</v>
      </c>
      <c r="C83" s="9">
        <v>10684.95</v>
      </c>
      <c r="D83" s="9">
        <v>10551.15</v>
      </c>
      <c r="E83" s="9">
        <v>10588.5</v>
      </c>
      <c r="F83" s="9">
        <v>61047544</v>
      </c>
      <c r="G83" s="9">
        <v>4569</v>
      </c>
    </row>
    <row r="84" spans="1:7" x14ac:dyDescent="0.25">
      <c r="A84" s="8">
        <v>44358</v>
      </c>
      <c r="B84" s="9">
        <v>10604.55</v>
      </c>
      <c r="C84" s="9">
        <v>10638.25</v>
      </c>
      <c r="D84" s="9">
        <v>10550.85</v>
      </c>
      <c r="E84" s="9">
        <v>10618.45</v>
      </c>
      <c r="F84" s="9">
        <v>47164355</v>
      </c>
      <c r="G84" s="9">
        <v>2821.97</v>
      </c>
    </row>
    <row r="85" spans="1:7" x14ac:dyDescent="0.25">
      <c r="A85" s="8">
        <v>44348</v>
      </c>
      <c r="B85" s="9">
        <v>10644.65</v>
      </c>
      <c r="C85" s="9">
        <v>10754.9</v>
      </c>
      <c r="D85" s="9">
        <v>10643.9</v>
      </c>
      <c r="E85" s="9">
        <v>10706.8</v>
      </c>
      <c r="F85" s="9">
        <v>141317283</v>
      </c>
      <c r="G85" s="9">
        <v>4074.08</v>
      </c>
    </row>
    <row r="86" spans="1:7" x14ac:dyDescent="0.25">
      <c r="A86" s="8">
        <v>44349</v>
      </c>
      <c r="B86" s="9">
        <v>10746.1</v>
      </c>
      <c r="C86" s="9">
        <v>10746.1</v>
      </c>
      <c r="D86" s="9">
        <v>10676.9</v>
      </c>
      <c r="E86" s="9">
        <v>10709.9</v>
      </c>
      <c r="F86" s="9">
        <v>51507645</v>
      </c>
      <c r="G86" s="9">
        <v>2049.35</v>
      </c>
    </row>
    <row r="87" spans="1:7" x14ac:dyDescent="0.25">
      <c r="A87" s="8">
        <v>44350</v>
      </c>
      <c r="B87" s="9">
        <v>10712.15</v>
      </c>
      <c r="C87" s="9">
        <v>10754.95</v>
      </c>
      <c r="D87" s="9">
        <v>10588.25</v>
      </c>
      <c r="E87" s="9">
        <v>10612.25</v>
      </c>
      <c r="F87" s="9">
        <v>77044012</v>
      </c>
      <c r="G87" s="9">
        <v>3239.42</v>
      </c>
    </row>
    <row r="88" spans="1:7" x14ac:dyDescent="0.25">
      <c r="A88" s="8">
        <v>44351</v>
      </c>
      <c r="B88" s="9">
        <v>10637.75</v>
      </c>
      <c r="C88" s="9">
        <v>10699.5</v>
      </c>
      <c r="D88" s="9">
        <v>10583</v>
      </c>
      <c r="E88" s="9">
        <v>10600.35</v>
      </c>
      <c r="F88" s="9">
        <v>42102528</v>
      </c>
      <c r="G88" s="9">
        <v>2468.92</v>
      </c>
    </row>
  </sheetData>
  <mergeCells count="3">
    <mergeCell ref="B2:P2"/>
    <mergeCell ref="B3:P3"/>
    <mergeCell ref="B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B-25 marks</vt:lpstr>
      <vt:lpstr>C-25 marks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2025-07-19T11:53:28Z</dcterms:modified>
</cp:coreProperties>
</file>